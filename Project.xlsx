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COOLYEAH\LULUSAN\Pelatihan\YT_Alex The Analyst\"/>
    </mc:Choice>
  </mc:AlternateContent>
  <xr:revisionPtr revIDLastSave="0" documentId="13_ncr:1_{5C596C28-140C-4EFE-B2C3-EC09AAEAD877}" xr6:coauthVersionLast="47" xr6:coauthVersionMax="47" xr10:uidLastSave="{00000000-0000-0000-0000-000000000000}"/>
  <bookViews>
    <workbookView xWindow="-110" yWindow="-110" windowWidth="19420" windowHeight="1102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<sst xmlns="http://schemas.openxmlformats.org/spreadsheetml/2006/main" count="16267" uniqueCount="51">
  <si>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</si>
  <si>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</si>
  <si>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</si>
  <si>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</si>
  <si>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</si>
  <si>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</si>
  <si>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</si>
  <si>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</si>
  <si>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</si>
  <si>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</si>
  <si>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</si>
  <si>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</si>
  <si>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</si>
  <si>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</si>
  <si>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</si>
  <si>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</si>
  <si>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</si>
  <si>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</si>
  <si>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</si>
  <si>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</si>
  <si>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</si>
  <si>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</si>
  <si>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</si>
  <si>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</si>
  <si>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</si>
  <si>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</si>
  <si>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</si>
  <si>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</si>
  <si>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</si>
  <si>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</si>
  <si>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</si>
  <si>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</si>
  <si>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</si>
  <si>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</si>
  <si>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</si>
  <si>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</si>
  <si>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</si>
  <si>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</si>
  <si>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Married</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</si>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</sst>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43913.043478260872</c:v>
                </c:pt>
                <c:pt idx="1">
                  <c:v>45925.925925925927</c:v>
                </c:pt>
              </c:numCache>
            </c:numRef>
          </c:val>
          <c:extLst>
            <c:ext xmlns:c16="http://schemas.microsoft.com/office/drawing/2014/chart" uri="{C3380CC4-5D6E-409C-BE32-E72D297353CC}">
              <c16:uniqueId val="{00000000-0443-428B-8C73-3D187754C93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45294.117647058825</c:v>
                </c:pt>
                <c:pt idx="1">
                  <c:v>53777.777777777781</c:v>
                </c:pt>
              </c:numCache>
            </c:numRef>
          </c:val>
          <c:extLst>
            <c:ext xmlns:c16="http://schemas.microsoft.com/office/drawing/2014/chart" uri="{C3380CC4-5D6E-409C-BE32-E72D297353CC}">
              <c16:uniqueId val="{00000001-0443-428B-8C73-3D187754C931}"/>
            </c:ext>
          </c:extLst>
        </c:ser>
        <c:dLbls>
          <c:showLegendKey val="0"/>
          <c:showVal val="0"/>
          <c:showCatName val="0"/>
          <c:showSerName val="0"/>
          <c:showPercent val="0"/>
          <c:showBubbleSize val="0"/>
        </c:dLbls>
        <c:gapWidth val="219"/>
        <c:overlap val="-27"/>
        <c:axId val="1723622847"/>
        <c:axId val="1911099023"/>
      </c:barChart>
      <c:catAx>
        <c:axId val="172362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099023"/>
        <c:crosses val="autoZero"/>
        <c:auto val="1"/>
        <c:lblAlgn val="ctr"/>
        <c:lblOffset val="100"/>
        <c:noMultiLvlLbl val="0"/>
      </c:catAx>
      <c:valAx>
        <c:axId val="19110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2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3310-43D5-9D3E-AFA1183D54BB}"/>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3310-43D5-9D3E-AFA1183D54BB}"/>
            </c:ext>
          </c:extLst>
        </c:ser>
        <c:dLbls>
          <c:showLegendKey val="0"/>
          <c:showVal val="0"/>
          <c:showCatName val="0"/>
          <c:showSerName val="0"/>
          <c:showPercent val="0"/>
          <c:showBubbleSize val="0"/>
        </c:dLbls>
        <c:smooth val="0"/>
        <c:axId val="1723628415"/>
        <c:axId val="1911123023"/>
      </c:lineChart>
      <c:catAx>
        <c:axId val="172362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23023"/>
        <c:crosses val="autoZero"/>
        <c:auto val="1"/>
        <c:lblAlgn val="ctr"/>
        <c:lblOffset val="100"/>
        <c:noMultiLvlLbl val="0"/>
      </c:catAx>
      <c:valAx>
        <c:axId val="191112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2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23</c:v>
                </c:pt>
                <c:pt idx="1">
                  <c:v>53</c:v>
                </c:pt>
                <c:pt idx="2">
                  <c:v>24</c:v>
                </c:pt>
              </c:numCache>
            </c:numRef>
          </c:val>
          <c:smooth val="0"/>
          <c:extLst>
            <c:ext xmlns:c16="http://schemas.microsoft.com/office/drawing/2014/chart" uri="{C3380CC4-5D6E-409C-BE32-E72D297353CC}">
              <c16:uniqueId val="{00000000-BE96-43F4-A0F1-7B4F5F8C9626}"/>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9</c:v>
                </c:pt>
                <c:pt idx="1">
                  <c:v>59</c:v>
                </c:pt>
                <c:pt idx="2">
                  <c:v>11</c:v>
                </c:pt>
              </c:numCache>
            </c:numRef>
          </c:val>
          <c:smooth val="0"/>
          <c:extLst>
            <c:ext xmlns:c16="http://schemas.microsoft.com/office/drawing/2014/chart" uri="{C3380CC4-5D6E-409C-BE32-E72D297353CC}">
              <c16:uniqueId val="{00000001-BE96-43F4-A0F1-7B4F5F8C9626}"/>
            </c:ext>
          </c:extLst>
        </c:ser>
        <c:dLbls>
          <c:showLegendKey val="0"/>
          <c:showVal val="0"/>
          <c:showCatName val="0"/>
          <c:showSerName val="0"/>
          <c:showPercent val="0"/>
          <c:showBubbleSize val="0"/>
        </c:dLbls>
        <c:marker val="1"/>
        <c:smooth val="0"/>
        <c:axId val="1990492031"/>
        <c:axId val="1911107663"/>
      </c:lineChart>
      <c:catAx>
        <c:axId val="199049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07663"/>
        <c:crosses val="autoZero"/>
        <c:auto val="1"/>
        <c:lblAlgn val="ctr"/>
        <c:lblOffset val="100"/>
        <c:noMultiLvlLbl val="0"/>
      </c:catAx>
      <c:valAx>
        <c:axId val="191110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49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a:t>
            </a:r>
            <a:r>
              <a:rPr lang="en-ID" baseline="0"/>
              <a:t> Income Per Purchase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43913.043478260872</c:v>
                </c:pt>
                <c:pt idx="1">
                  <c:v>45925.925925925927</c:v>
                </c:pt>
              </c:numCache>
            </c:numRef>
          </c:val>
          <c:extLst>
            <c:ext xmlns:c16="http://schemas.microsoft.com/office/drawing/2014/chart" uri="{C3380CC4-5D6E-409C-BE32-E72D297353CC}">
              <c16:uniqueId val="{00000000-A7AB-427D-87FD-FFCDB94D8C2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45294.117647058825</c:v>
                </c:pt>
                <c:pt idx="1">
                  <c:v>53777.777777777781</c:v>
                </c:pt>
              </c:numCache>
            </c:numRef>
          </c:val>
          <c:extLst>
            <c:ext xmlns:c16="http://schemas.microsoft.com/office/drawing/2014/chart" uri="{C3380CC4-5D6E-409C-BE32-E72D297353CC}">
              <c16:uniqueId val="{00000001-A7AB-427D-87FD-FFCDB94D8C24}"/>
            </c:ext>
          </c:extLst>
        </c:ser>
        <c:dLbls>
          <c:showLegendKey val="0"/>
          <c:showVal val="0"/>
          <c:showCatName val="0"/>
          <c:showSerName val="0"/>
          <c:showPercent val="0"/>
          <c:showBubbleSize val="0"/>
        </c:dLbls>
        <c:gapWidth val="219"/>
        <c:overlap val="-27"/>
        <c:axId val="1723622847"/>
        <c:axId val="1911099023"/>
      </c:barChart>
      <c:catAx>
        <c:axId val="172362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099023"/>
        <c:crosses val="autoZero"/>
        <c:auto val="1"/>
        <c:lblAlgn val="ctr"/>
        <c:lblOffset val="100"/>
        <c:noMultiLvlLbl val="0"/>
      </c:catAx>
      <c:valAx>
        <c:axId val="19110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2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595D-4A83-9176-DE58EA440663}"/>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595D-4A83-9176-DE58EA440663}"/>
            </c:ext>
          </c:extLst>
        </c:ser>
        <c:dLbls>
          <c:dLblPos val="t"/>
          <c:showLegendKey val="0"/>
          <c:showVal val="0"/>
          <c:showCatName val="0"/>
          <c:showSerName val="0"/>
          <c:showPercent val="0"/>
          <c:showBubbleSize val="0"/>
        </c:dLbls>
        <c:smooth val="0"/>
        <c:axId val="1723628415"/>
        <c:axId val="1911123023"/>
      </c:lineChart>
      <c:catAx>
        <c:axId val="172362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23023"/>
        <c:crosses val="autoZero"/>
        <c:auto val="1"/>
        <c:lblAlgn val="ctr"/>
        <c:lblOffset val="100"/>
        <c:noMultiLvlLbl val="0"/>
      </c:catAx>
      <c:valAx>
        <c:axId val="191112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28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Table'!$B$34:$B$35</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Table'!$A$36:$A$39</c:f>
              <c:strCache>
                <c:ptCount val="3"/>
                <c:pt idx="0">
                  <c:v>Adolescent</c:v>
                </c:pt>
                <c:pt idx="1">
                  <c:v>Middle Age</c:v>
                </c:pt>
                <c:pt idx="2">
                  <c:v>Old</c:v>
                </c:pt>
              </c:strCache>
            </c:strRef>
          </c:cat>
          <c:val>
            <c:numRef>
              <c:f>'Pivot Table'!$B$36:$B$39</c:f>
              <c:numCache>
                <c:formatCode>General</c:formatCode>
                <c:ptCount val="3"/>
                <c:pt idx="0">
                  <c:v>23</c:v>
                </c:pt>
                <c:pt idx="1">
                  <c:v>53</c:v>
                </c:pt>
                <c:pt idx="2">
                  <c:v>24</c:v>
                </c:pt>
              </c:numCache>
            </c:numRef>
          </c:val>
          <c:extLst>
            <c:ext xmlns:c16="http://schemas.microsoft.com/office/drawing/2014/chart" uri="{C3380CC4-5D6E-409C-BE32-E72D297353CC}">
              <c16:uniqueId val="{00000000-13BC-43FE-B9F3-84874ABD3E72}"/>
            </c:ext>
          </c:extLst>
        </c:ser>
        <c:ser>
          <c:idx val="1"/>
          <c:order val="1"/>
          <c:tx>
            <c:strRef>
              <c:f>'Pivot Table'!$C$34:$C$35</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Table'!$A$36:$A$39</c:f>
              <c:strCache>
                <c:ptCount val="3"/>
                <c:pt idx="0">
                  <c:v>Adolescent</c:v>
                </c:pt>
                <c:pt idx="1">
                  <c:v>Middle Age</c:v>
                </c:pt>
                <c:pt idx="2">
                  <c:v>Old</c:v>
                </c:pt>
              </c:strCache>
            </c:strRef>
          </c:cat>
          <c:val>
            <c:numRef>
              <c:f>'Pivot Table'!$C$36:$C$39</c:f>
              <c:numCache>
                <c:formatCode>General</c:formatCode>
                <c:ptCount val="3"/>
                <c:pt idx="0">
                  <c:v>9</c:v>
                </c:pt>
                <c:pt idx="1">
                  <c:v>59</c:v>
                </c:pt>
                <c:pt idx="2">
                  <c:v>11</c:v>
                </c:pt>
              </c:numCache>
            </c:numRef>
          </c:val>
          <c:extLst>
            <c:ext xmlns:c16="http://schemas.microsoft.com/office/drawing/2014/chart" uri="{C3380CC4-5D6E-409C-BE32-E72D297353CC}">
              <c16:uniqueId val="{00000001-13BC-43FE-B9F3-84874ABD3E7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602023</xdr:colOff>
      <xdr:row>0</xdr:row>
      <xdr:rowOff>8943</xdr:rowOff>
    </xdr:from>
    <xdr:to>
      <xdr:col>12</xdr:col>
      <xdr:colOff>350521</xdr:colOff>
      <xdr:row>14</xdr:row>
      <xdr:rowOff>132101</xdr:rowOff>
    </xdr:to>
    <xdr:graphicFrame macro="">
      <xdr:nvGraphicFramePr>
        <xdr:cNvPr id="2" name="Chart 1">
          <a:extLst>
            <a:ext uri="{FF2B5EF4-FFF2-40B4-BE49-F238E27FC236}">
              <a16:creationId xmlns:a16="http://schemas.microsoft.com/office/drawing/2014/main" id="{1E1F47B1-1173-2F9C-152B-2AF70809C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2474</xdr:colOff>
      <xdr:row>16</xdr:row>
      <xdr:rowOff>9732</xdr:rowOff>
    </xdr:from>
    <xdr:to>
      <xdr:col>12</xdr:col>
      <xdr:colOff>302656</xdr:colOff>
      <xdr:row>31</xdr:row>
      <xdr:rowOff>31503</xdr:rowOff>
    </xdr:to>
    <xdr:graphicFrame macro="">
      <xdr:nvGraphicFramePr>
        <xdr:cNvPr id="3" name="Chart 2">
          <a:extLst>
            <a:ext uri="{FF2B5EF4-FFF2-40B4-BE49-F238E27FC236}">
              <a16:creationId xmlns:a16="http://schemas.microsoft.com/office/drawing/2014/main" id="{094E2643-AEBC-07DE-AD8D-CAA2C286E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2475</xdr:colOff>
      <xdr:row>33</xdr:row>
      <xdr:rowOff>17978</xdr:rowOff>
    </xdr:from>
    <xdr:to>
      <xdr:col>12</xdr:col>
      <xdr:colOff>302657</xdr:colOff>
      <xdr:row>48</xdr:row>
      <xdr:rowOff>39750</xdr:rowOff>
    </xdr:to>
    <xdr:graphicFrame macro="">
      <xdr:nvGraphicFramePr>
        <xdr:cNvPr id="4" name="Chart 3">
          <a:extLst>
            <a:ext uri="{FF2B5EF4-FFF2-40B4-BE49-F238E27FC236}">
              <a16:creationId xmlns:a16="http://schemas.microsoft.com/office/drawing/2014/main" id="{E97D0B10-FD95-AC9D-F395-7CBFD220B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53813</xdr:colOff>
      <xdr:row>6</xdr:row>
      <xdr:rowOff>9202</xdr:rowOff>
    </xdr:from>
    <xdr:to>
      <xdr:col>9</xdr:col>
      <xdr:colOff>47037</xdr:colOff>
      <xdr:row>27</xdr:row>
      <xdr:rowOff>53813</xdr:rowOff>
    </xdr:to>
    <xdr:graphicFrame macro="">
      <xdr:nvGraphicFramePr>
        <xdr:cNvPr id="2" name="Chart 1">
          <a:extLst>
            <a:ext uri="{FF2B5EF4-FFF2-40B4-BE49-F238E27FC236}">
              <a16:creationId xmlns:a16="http://schemas.microsoft.com/office/drawing/2014/main" id="{5419CB3E-7EFC-45FF-B523-3B8E32E9B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70554</xdr:colOff>
      <xdr:row>27</xdr:row>
      <xdr:rowOff>91516</xdr:rowOff>
    </xdr:from>
    <xdr:to>
      <xdr:col>14</xdr:col>
      <xdr:colOff>576203</xdr:colOff>
      <xdr:row>41</xdr:row>
      <xdr:rowOff>47037</xdr:rowOff>
    </xdr:to>
    <xdr:graphicFrame macro="">
      <xdr:nvGraphicFramePr>
        <xdr:cNvPr id="3" name="Chart 2">
          <a:extLst>
            <a:ext uri="{FF2B5EF4-FFF2-40B4-BE49-F238E27FC236}">
              <a16:creationId xmlns:a16="http://schemas.microsoft.com/office/drawing/2014/main" id="{6518A9E1-E1EE-4A74-96B4-A9BA1D6D9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73273</xdr:colOff>
      <xdr:row>6</xdr:row>
      <xdr:rowOff>13554</xdr:rowOff>
    </xdr:from>
    <xdr:to>
      <xdr:col>14</xdr:col>
      <xdr:colOff>599723</xdr:colOff>
      <xdr:row>27</xdr:row>
      <xdr:rowOff>82315</xdr:rowOff>
    </xdr:to>
    <xdr:graphicFrame macro="">
      <xdr:nvGraphicFramePr>
        <xdr:cNvPr id="4" name="Chart 3">
          <a:extLst>
            <a:ext uri="{FF2B5EF4-FFF2-40B4-BE49-F238E27FC236}">
              <a16:creationId xmlns:a16="http://schemas.microsoft.com/office/drawing/2014/main" id="{29B43AA1-CA43-4DD1-8EB1-656BB3A94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25616</xdr:colOff>
      <xdr:row>6</xdr:row>
      <xdr:rowOff>52091</xdr:rowOff>
    </xdr:from>
    <xdr:to>
      <xdr:col>3</xdr:col>
      <xdr:colOff>13992</xdr:colOff>
      <xdr:row>11</xdr:row>
      <xdr:rowOff>43051</xdr:rowOff>
    </xdr:to>
    <mc:AlternateContent xmlns:mc="http://schemas.openxmlformats.org/markup-compatibility/2006">
      <mc:Choice xmlns:a14="http://schemas.microsoft.com/office/drawing/2010/main" Requires="a14">
        <xdr:graphicFrame macro="">
          <xdr:nvGraphicFramePr>
            <xdr:cNvPr id="15" name="Marital Status">
              <a:extLst>
                <a:ext uri="{FF2B5EF4-FFF2-40B4-BE49-F238E27FC236}">
                  <a16:creationId xmlns:a16="http://schemas.microsoft.com/office/drawing/2014/main" id="{9BDE87EC-5BF2-70DC-94FD-4EADE656C32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616" y="1168815"/>
              <a:ext cx="1827686" cy="9215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39068</xdr:colOff>
      <xdr:row>18</xdr:row>
      <xdr:rowOff>970</xdr:rowOff>
    </xdr:from>
    <xdr:to>
      <xdr:col>3</xdr:col>
      <xdr:colOff>27444</xdr:colOff>
      <xdr:row>27</xdr:row>
      <xdr:rowOff>53815</xdr:rowOff>
    </xdr:to>
    <mc:AlternateContent xmlns:mc="http://schemas.openxmlformats.org/markup-compatibility/2006">
      <mc:Choice xmlns:a14="http://schemas.microsoft.com/office/drawing/2010/main" Requires="a14">
        <xdr:graphicFrame macro="">
          <xdr:nvGraphicFramePr>
            <xdr:cNvPr id="16" name="Education">
              <a:extLst>
                <a:ext uri="{FF2B5EF4-FFF2-40B4-BE49-F238E27FC236}">
                  <a16:creationId xmlns:a16="http://schemas.microsoft.com/office/drawing/2014/main" id="{FDA79416-F152-775D-EB6A-58B01D94B9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9068" y="3351142"/>
              <a:ext cx="1827686" cy="17279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41759</xdr:colOff>
      <xdr:row>11</xdr:row>
      <xdr:rowOff>68237</xdr:rowOff>
    </xdr:from>
    <xdr:to>
      <xdr:col>3</xdr:col>
      <xdr:colOff>30135</xdr:colOff>
      <xdr:row>17</xdr:row>
      <xdr:rowOff>139915</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D3006B3B-28F5-1D20-7048-4CFFBFFF7A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759" y="2115565"/>
              <a:ext cx="1827686" cy="11884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2.967411574071" createdVersion="8" refreshedVersion="8" minRefreshableVersion="3" recordCount="1000" xr:uid="{E3763815-681B-4802-8CE9-C6696769AA1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45658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626835-6D72-43F4-AAC7-E3A7F2E8D45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4:D39" firstHeaderRow="1" firstDataRow="2" firstDataCol="1"/>
  <pivotFields count="14">
    <pivotField showAll="0"/>
    <pivotField showAll="0">
      <items count="3">
        <item x="0"/>
        <item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3">
          <reference field="4294967294" count="1" selected="0">
            <x v="0"/>
          </reference>
          <reference field="12"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D05076-57B9-4AA0-A58B-E873DF99555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D23" firstHeaderRow="1" firstDataRow="2" firstDataCol="1"/>
  <pivotFields count="14">
    <pivotField showAll="0"/>
    <pivotField showAll="0">
      <items count="3">
        <item x="0"/>
        <item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12D6B-A226-4C3A-9213-5212DCEFBA7C}"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72CAD5-FBB3-4A4A-99D4-6DE9085E9E9A}" sourceName="Marital Status">
  <pivotTables>
    <pivotTable tabId="3" name="PivotTable1"/>
    <pivotTable tabId="3" name="PivotTable2"/>
    <pivotTable tabId="3" name="PivotTable3"/>
  </pivotTables>
  <data>
    <tabular pivotCacheId="11456589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77135A-9F90-4069-8E2C-161257C6CF66}" sourceName="Education">
  <pivotTables>
    <pivotTable tabId="3" name="PivotTable1"/>
    <pivotTable tabId="3" name="PivotTable2"/>
    <pivotTable tabId="3" name="PivotTable3"/>
  </pivotTables>
  <data>
    <tabular pivotCacheId="1145658940">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2922AA-B4D8-4D7C-8BF9-ADA327F322FC}" sourceName="Region">
  <pivotTables>
    <pivotTable tabId="3" name="PivotTable1"/>
    <pivotTable tabId="3" name="PivotTable2"/>
    <pivotTable tabId="3" name="PivotTable3"/>
  </pivotTables>
  <data>
    <tabular pivotCacheId="11456589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8D1C2C0-CBBD-4454-B312-2CBF10199674}" cache="Slicer_Marital_Status" caption="Marital Status" style="SlicerStyleLight2" rowHeight="241300"/>
  <slicer name="Education" xr10:uid="{C680FA2E-E983-4BF9-BAD3-91F35E556E38}" cache="Slicer_Education" caption="Education" style="SlicerStyleLight2" rowHeight="241300"/>
  <slicer name="Region" xr10:uid="{29E23187-9E66-472F-BF8D-9E727E5BAD77}" cache="Slicer_Region" caption="Reg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EF6C8-FBA0-4568-8335-9B49303B1910}">
  <dimension ref="A1:N1001"/>
  <sheetViews>
    <sheetView zoomScale="78" workbookViewId="0">
      <selection activeCell="J1" sqref="J1:J1048576"/>
    </sheetView>
  </sheetViews>
  <sheetFormatPr defaultRowHeight="14.5" x14ac:dyDescent="0.35"/>
  <cols>
    <col min="1" max="1" width="13.08984375" customWidth="1"/>
    <col min="2" max="2" width="12.36328125" bestFit="1" customWidth="1"/>
    <col min="4" max="4" width="11.90625" style="3" bestFit="1" customWidth="1"/>
    <col min="5" max="5" width="7.81640625" bestFit="1" customWidth="1"/>
    <col min="6" max="6" width="16.26953125" bestFit="1" customWidth="1"/>
    <col min="7" max="7" width="13" bestFit="1" customWidth="1"/>
    <col min="10" max="10" width="16.6328125" bestFit="1" customWidth="1"/>
    <col min="11" max="11" width="13" bestFit="1" customWidth="1"/>
    <col min="13" max="13" width="13.6328125" bestFit="1" customWidth="1"/>
    <col min="14" max="14" width="13.4531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38</v>
      </c>
      <c r="C2" t="s">
        <v>39</v>
      </c>
      <c r="D2" s="3">
        <v>40000</v>
      </c>
      <c r="E2">
        <v>1</v>
      </c>
      <c r="F2" t="s">
        <v>13</v>
      </c>
      <c r="G2" t="s">
        <v>14</v>
      </c>
      <c r="H2" t="s">
        <v>15</v>
      </c>
      <c r="I2">
        <v>0</v>
      </c>
      <c r="J2" t="s">
        <v>16</v>
      </c>
      <c r="K2" t="s">
        <v>17</v>
      </c>
      <c r="L2">
        <v>42</v>
      </c>
      <c r="M2" t="str">
        <f>IF(L2&gt;54, "Old",IF(L2&gt;=31, "Middle Age",IF(L2&lt;31, "Adolescent", "Invalid")))</f>
        <v>Middle Age</v>
      </c>
      <c r="N2" t="s">
        <v>18</v>
      </c>
    </row>
    <row r="3" spans="1:14" x14ac:dyDescent="0.35">
      <c r="A3">
        <v>24107</v>
      </c>
      <c r="B3" t="s">
        <v>38</v>
      </c>
      <c r="C3" t="s">
        <v>36</v>
      </c>
      <c r="D3" s="3">
        <v>30000</v>
      </c>
      <c r="E3">
        <v>3</v>
      </c>
      <c r="F3" t="s">
        <v>19</v>
      </c>
      <c r="G3" t="s">
        <v>20</v>
      </c>
      <c r="H3" t="s">
        <v>15</v>
      </c>
      <c r="I3">
        <v>1</v>
      </c>
      <c r="J3" t="s">
        <v>16</v>
      </c>
      <c r="K3" t="s">
        <v>17</v>
      </c>
      <c r="L3">
        <v>43</v>
      </c>
      <c r="M3" t="str">
        <f t="shared" ref="M3:M66" si="0">IF(L3&gt;54, "Old",IF(L3&gt;=31, "Middle Age",IF(L3&lt;31, "Adolescent", "Invalid")))</f>
        <v>Middle Age</v>
      </c>
      <c r="N3" t="s">
        <v>18</v>
      </c>
    </row>
    <row r="4" spans="1:14" x14ac:dyDescent="0.35">
      <c r="A4">
        <v>14177</v>
      </c>
      <c r="B4" t="s">
        <v>38</v>
      </c>
      <c r="C4" t="s">
        <v>36</v>
      </c>
      <c r="D4" s="3">
        <v>80000</v>
      </c>
      <c r="E4">
        <v>5</v>
      </c>
      <c r="F4" t="s">
        <v>19</v>
      </c>
      <c r="G4" t="s">
        <v>21</v>
      </c>
      <c r="H4" t="s">
        <v>18</v>
      </c>
      <c r="I4">
        <v>2</v>
      </c>
      <c r="J4" t="s">
        <v>22</v>
      </c>
      <c r="K4" t="s">
        <v>17</v>
      </c>
      <c r="L4">
        <v>60</v>
      </c>
      <c r="M4" t="str">
        <f t="shared" si="0"/>
        <v>Old</v>
      </c>
      <c r="N4" t="s">
        <v>18</v>
      </c>
    </row>
    <row r="5" spans="1:14" x14ac:dyDescent="0.35">
      <c r="A5">
        <v>24381</v>
      </c>
      <c r="B5" t="s">
        <v>37</v>
      </c>
      <c r="C5" t="s">
        <v>36</v>
      </c>
      <c r="D5" s="3">
        <v>70000</v>
      </c>
      <c r="E5">
        <v>0</v>
      </c>
      <c r="F5" t="s">
        <v>13</v>
      </c>
      <c r="G5" t="s">
        <v>21</v>
      </c>
      <c r="H5" t="s">
        <v>15</v>
      </c>
      <c r="I5">
        <v>1</v>
      </c>
      <c r="J5" t="s">
        <v>23</v>
      </c>
      <c r="K5" t="s">
        <v>24</v>
      </c>
      <c r="L5">
        <v>41</v>
      </c>
      <c r="M5" t="str">
        <f t="shared" si="0"/>
        <v>Middle Age</v>
      </c>
      <c r="N5" t="s">
        <v>15</v>
      </c>
    </row>
    <row r="6" spans="1:14" x14ac:dyDescent="0.35">
      <c r="A6">
        <v>25597</v>
      </c>
      <c r="B6" t="s">
        <v>37</v>
      </c>
      <c r="C6" t="s">
        <v>36</v>
      </c>
      <c r="D6" s="3">
        <v>30000</v>
      </c>
      <c r="E6">
        <v>0</v>
      </c>
      <c r="F6" t="s">
        <v>13</v>
      </c>
      <c r="G6" t="s">
        <v>20</v>
      </c>
      <c r="H6" t="s">
        <v>18</v>
      </c>
      <c r="I6">
        <v>0</v>
      </c>
      <c r="J6" t="s">
        <v>16</v>
      </c>
      <c r="K6" t="s">
        <v>17</v>
      </c>
      <c r="L6">
        <v>36</v>
      </c>
      <c r="M6" t="str">
        <f t="shared" si="0"/>
        <v>Middle Age</v>
      </c>
      <c r="N6" t="s">
        <v>15</v>
      </c>
    </row>
    <row r="7" spans="1:14" x14ac:dyDescent="0.35">
      <c r="A7">
        <v>13507</v>
      </c>
      <c r="B7" t="s">
        <v>38</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36</v>
      </c>
      <c r="D8" s="3">
        <v>160000</v>
      </c>
      <c r="E8">
        <v>2</v>
      </c>
      <c r="F8" t="s">
        <v>27</v>
      </c>
      <c r="G8" t="s">
        <v>28</v>
      </c>
      <c r="H8" t="s">
        <v>15</v>
      </c>
      <c r="I8">
        <v>4</v>
      </c>
      <c r="J8" t="s">
        <v>16</v>
      </c>
      <c r="K8" t="s">
        <v>24</v>
      </c>
      <c r="L8">
        <v>33</v>
      </c>
      <c r="M8" t="str">
        <f t="shared" si="0"/>
        <v>Middle Age</v>
      </c>
      <c r="N8" t="s">
        <v>15</v>
      </c>
    </row>
    <row r="9" spans="1:14" x14ac:dyDescent="0.35">
      <c r="A9">
        <v>19364</v>
      </c>
      <c r="B9" t="s">
        <v>38</v>
      </c>
      <c r="C9" t="s">
        <v>36</v>
      </c>
      <c r="D9" s="3">
        <v>40000</v>
      </c>
      <c r="E9">
        <v>1</v>
      </c>
      <c r="F9" t="s">
        <v>13</v>
      </c>
      <c r="G9" t="s">
        <v>14</v>
      </c>
      <c r="H9" t="s">
        <v>15</v>
      </c>
      <c r="I9">
        <v>0</v>
      </c>
      <c r="J9" t="s">
        <v>16</v>
      </c>
      <c r="K9" t="s">
        <v>17</v>
      </c>
      <c r="L9">
        <v>43</v>
      </c>
      <c r="M9" t="str">
        <f t="shared" si="0"/>
        <v>Middle Age</v>
      </c>
      <c r="N9" t="s">
        <v>15</v>
      </c>
    </row>
    <row r="10" spans="1:14" x14ac:dyDescent="0.35">
      <c r="A10">
        <v>22155</v>
      </c>
      <c r="B10" t="s">
        <v>38</v>
      </c>
      <c r="C10" t="s">
        <v>36</v>
      </c>
      <c r="D10" s="3">
        <v>20000</v>
      </c>
      <c r="E10">
        <v>2</v>
      </c>
      <c r="F10" t="s">
        <v>29</v>
      </c>
      <c r="G10" t="s">
        <v>20</v>
      </c>
      <c r="H10" t="s">
        <v>15</v>
      </c>
      <c r="I10">
        <v>2</v>
      </c>
      <c r="J10" t="s">
        <v>23</v>
      </c>
      <c r="K10" t="s">
        <v>24</v>
      </c>
      <c r="L10">
        <v>58</v>
      </c>
      <c r="M10" t="str">
        <f t="shared" si="0"/>
        <v>Old</v>
      </c>
      <c r="N10" t="s">
        <v>18</v>
      </c>
    </row>
    <row r="11" spans="1:14" x14ac:dyDescent="0.35">
      <c r="A11">
        <v>19280</v>
      </c>
      <c r="B11" t="s">
        <v>38</v>
      </c>
      <c r="C11" t="s">
        <v>36</v>
      </c>
      <c r="D11" s="3">
        <v>120000</v>
      </c>
      <c r="E11">
        <v>2</v>
      </c>
      <c r="F11" t="s">
        <v>19</v>
      </c>
      <c r="G11" t="s">
        <v>25</v>
      </c>
      <c r="H11" t="s">
        <v>15</v>
      </c>
      <c r="I11">
        <v>1</v>
      </c>
      <c r="J11" t="s">
        <v>16</v>
      </c>
      <c r="K11" t="s">
        <v>17</v>
      </c>
      <c r="L11">
        <v>40</v>
      </c>
      <c r="M11" t="str">
        <f t="shared" si="0"/>
        <v>Middle Age</v>
      </c>
      <c r="N11" t="s">
        <v>15</v>
      </c>
    </row>
    <row r="12" spans="1:14" x14ac:dyDescent="0.35">
      <c r="A12">
        <v>22173</v>
      </c>
      <c r="B12" t="s">
        <v>38</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38</v>
      </c>
      <c r="C14" t="s">
        <v>36</v>
      </c>
      <c r="D14" s="3">
        <v>170000</v>
      </c>
      <c r="E14">
        <v>5</v>
      </c>
      <c r="F14" t="s">
        <v>19</v>
      </c>
      <c r="G14" t="s">
        <v>21</v>
      </c>
      <c r="H14" t="s">
        <v>15</v>
      </c>
      <c r="I14">
        <v>0</v>
      </c>
      <c r="J14" t="s">
        <v>16</v>
      </c>
      <c r="K14" t="s">
        <v>17</v>
      </c>
      <c r="L14">
        <v>55</v>
      </c>
      <c r="M14" t="str">
        <f t="shared" si="0"/>
        <v>Old</v>
      </c>
      <c r="N14" t="s">
        <v>18</v>
      </c>
    </row>
    <row r="15" spans="1:14" x14ac:dyDescent="0.35">
      <c r="A15">
        <v>25323</v>
      </c>
      <c r="B15" t="s">
        <v>38</v>
      </c>
      <c r="C15" t="s">
        <v>36</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35">
      <c r="A19">
        <v>12610</v>
      </c>
      <c r="B19" t="s">
        <v>38</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36</v>
      </c>
      <c r="D21" s="3">
        <v>20000</v>
      </c>
      <c r="E21">
        <v>2</v>
      </c>
      <c r="F21" t="s">
        <v>29</v>
      </c>
      <c r="G21" t="s">
        <v>20</v>
      </c>
      <c r="H21" t="s">
        <v>15</v>
      </c>
      <c r="I21">
        <v>2</v>
      </c>
      <c r="J21" t="s">
        <v>23</v>
      </c>
      <c r="K21" t="s">
        <v>24</v>
      </c>
      <c r="L21">
        <v>55</v>
      </c>
      <c r="M21" t="str">
        <f t="shared" si="0"/>
        <v>Old</v>
      </c>
      <c r="N21" t="s">
        <v>15</v>
      </c>
    </row>
    <row r="22" spans="1:14" x14ac:dyDescent="0.35">
      <c r="A22">
        <v>25598</v>
      </c>
      <c r="B22" t="s">
        <v>38</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35">
      <c r="A25">
        <v>26412</v>
      </c>
      <c r="B25" t="s">
        <v>38</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36</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38</v>
      </c>
      <c r="C30" t="s">
        <v>36</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38</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38</v>
      </c>
      <c r="C33" t="s">
        <v>36</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38</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36</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38</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38</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38</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38</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38</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38</v>
      </c>
      <c r="C50" t="s">
        <v>36</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36</v>
      </c>
      <c r="D53" s="3">
        <v>80000</v>
      </c>
      <c r="E53">
        <v>0</v>
      </c>
      <c r="F53" t="s">
        <v>13</v>
      </c>
      <c r="G53" t="s">
        <v>21</v>
      </c>
      <c r="H53" t="s">
        <v>18</v>
      </c>
      <c r="I53">
        <v>4</v>
      </c>
      <c r="J53" t="s">
        <v>46</v>
      </c>
      <c r="K53" t="s">
        <v>24</v>
      </c>
      <c r="L53">
        <v>35</v>
      </c>
      <c r="M53" t="str">
        <f t="shared" si="0"/>
        <v>Middle Age</v>
      </c>
      <c r="N53" t="s">
        <v>18</v>
      </c>
    </row>
    <row r="54" spans="1:14" x14ac:dyDescent="0.35">
      <c r="A54">
        <v>12558</v>
      </c>
      <c r="B54" t="s">
        <v>38</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38</v>
      </c>
      <c r="C57" t="s">
        <v>36</v>
      </c>
      <c r="D57" s="3">
        <v>80000</v>
      </c>
      <c r="E57">
        <v>4</v>
      </c>
      <c r="F57" t="s">
        <v>27</v>
      </c>
      <c r="G57" t="s">
        <v>21</v>
      </c>
      <c r="H57" t="s">
        <v>15</v>
      </c>
      <c r="I57">
        <v>2</v>
      </c>
      <c r="J57" t="s">
        <v>46</v>
      </c>
      <c r="K57" t="s">
        <v>17</v>
      </c>
      <c r="L57">
        <v>54</v>
      </c>
      <c r="M57" t="str">
        <f t="shared" si="0"/>
        <v>Middle Age</v>
      </c>
      <c r="N57" t="s">
        <v>18</v>
      </c>
    </row>
    <row r="58" spans="1:14" x14ac:dyDescent="0.35">
      <c r="A58">
        <v>12808</v>
      </c>
      <c r="B58" t="s">
        <v>38</v>
      </c>
      <c r="C58" t="s">
        <v>36</v>
      </c>
      <c r="D58" s="3">
        <v>40000</v>
      </c>
      <c r="E58">
        <v>0</v>
      </c>
      <c r="F58" t="s">
        <v>13</v>
      </c>
      <c r="G58" t="s">
        <v>20</v>
      </c>
      <c r="H58" t="s">
        <v>15</v>
      </c>
      <c r="I58">
        <v>0</v>
      </c>
      <c r="J58" t="s">
        <v>16</v>
      </c>
      <c r="K58" t="s">
        <v>17</v>
      </c>
      <c r="L58">
        <v>38</v>
      </c>
      <c r="M58" t="str">
        <f t="shared" si="0"/>
        <v>Middle Age</v>
      </c>
      <c r="N58" t="s">
        <v>15</v>
      </c>
    </row>
    <row r="59" spans="1:14" x14ac:dyDescent="0.35">
      <c r="A59">
        <v>20567</v>
      </c>
      <c r="B59" t="s">
        <v>38</v>
      </c>
      <c r="C59" t="s">
        <v>36</v>
      </c>
      <c r="D59" s="3">
        <v>130000</v>
      </c>
      <c r="E59">
        <v>4</v>
      </c>
      <c r="F59" t="s">
        <v>19</v>
      </c>
      <c r="G59" t="s">
        <v>21</v>
      </c>
      <c r="H59" t="s">
        <v>18</v>
      </c>
      <c r="I59">
        <v>4</v>
      </c>
      <c r="J59" t="s">
        <v>23</v>
      </c>
      <c r="K59" t="s">
        <v>17</v>
      </c>
      <c r="L59">
        <v>61</v>
      </c>
      <c r="M59" t="str">
        <f t="shared" si="0"/>
        <v>Old</v>
      </c>
      <c r="N59" t="s">
        <v>15</v>
      </c>
    </row>
    <row r="60" spans="1:14" x14ac:dyDescent="0.35">
      <c r="A60">
        <v>25502</v>
      </c>
      <c r="B60" t="s">
        <v>38</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38</v>
      </c>
      <c r="C61" t="s">
        <v>36</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38</v>
      </c>
      <c r="C64" t="s">
        <v>36</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36</v>
      </c>
      <c r="D65" s="3">
        <v>60000</v>
      </c>
      <c r="E65">
        <v>4</v>
      </c>
      <c r="F65" t="s">
        <v>13</v>
      </c>
      <c r="G65" t="s">
        <v>21</v>
      </c>
      <c r="H65" t="s">
        <v>15</v>
      </c>
      <c r="I65">
        <v>3</v>
      </c>
      <c r="J65" t="s">
        <v>46</v>
      </c>
      <c r="K65" t="s">
        <v>24</v>
      </c>
      <c r="L65">
        <v>41</v>
      </c>
      <c r="M65" t="str">
        <f t="shared" si="0"/>
        <v>Middle Age</v>
      </c>
      <c r="N65" t="s">
        <v>18</v>
      </c>
    </row>
    <row r="66" spans="1:14" x14ac:dyDescent="0.35">
      <c r="A66">
        <v>14927</v>
      </c>
      <c r="B66" t="s">
        <v>38</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36</v>
      </c>
      <c r="D67" s="3">
        <v>30000</v>
      </c>
      <c r="E67">
        <v>2</v>
      </c>
      <c r="F67" t="s">
        <v>19</v>
      </c>
      <c r="G67" t="s">
        <v>20</v>
      </c>
      <c r="H67" t="s">
        <v>15</v>
      </c>
      <c r="I67">
        <v>2</v>
      </c>
      <c r="J67" t="s">
        <v>23</v>
      </c>
      <c r="K67" t="s">
        <v>24</v>
      </c>
      <c r="L67">
        <v>68</v>
      </c>
      <c r="M67" t="str">
        <f t="shared" ref="M67:M130" si="1">IF(L67&gt;54, "Old",IF(L67&gt;=31, "Middle Age",IF(L67&lt;31, "Adolescent", "Invalid")))</f>
        <v>Old</v>
      </c>
      <c r="N67" t="s">
        <v>18</v>
      </c>
    </row>
    <row r="68" spans="1:14" x14ac:dyDescent="0.35">
      <c r="A68">
        <v>29355</v>
      </c>
      <c r="B68" t="s">
        <v>38</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38</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38</v>
      </c>
      <c r="C72" t="s">
        <v>36</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38</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38</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38</v>
      </c>
      <c r="C79" t="s">
        <v>36</v>
      </c>
      <c r="D79" s="3">
        <v>80000</v>
      </c>
      <c r="E79">
        <v>0</v>
      </c>
      <c r="F79" t="s">
        <v>13</v>
      </c>
      <c r="G79" t="s">
        <v>21</v>
      </c>
      <c r="H79" t="s">
        <v>15</v>
      </c>
      <c r="I79">
        <v>2</v>
      </c>
      <c r="J79" t="s">
        <v>46</v>
      </c>
      <c r="K79" t="s">
        <v>24</v>
      </c>
      <c r="L79">
        <v>29</v>
      </c>
      <c r="M79" t="str">
        <f t="shared" si="1"/>
        <v>Adolescent</v>
      </c>
      <c r="N79" t="s">
        <v>15</v>
      </c>
    </row>
    <row r="80" spans="1:14" x14ac:dyDescent="0.35">
      <c r="A80">
        <v>15752</v>
      </c>
      <c r="B80" t="s">
        <v>38</v>
      </c>
      <c r="C80" t="s">
        <v>36</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35">
      <c r="A82">
        <v>20828</v>
      </c>
      <c r="B82" t="s">
        <v>38</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38</v>
      </c>
      <c r="C84" t="s">
        <v>36</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36</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36</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35">
      <c r="A89">
        <v>19608</v>
      </c>
      <c r="B89" t="s">
        <v>38</v>
      </c>
      <c r="C89" t="s">
        <v>36</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36</v>
      </c>
      <c r="D90" s="3">
        <v>30000</v>
      </c>
      <c r="E90">
        <v>0</v>
      </c>
      <c r="F90" t="s">
        <v>19</v>
      </c>
      <c r="G90" t="s">
        <v>20</v>
      </c>
      <c r="H90" t="s">
        <v>18</v>
      </c>
      <c r="I90">
        <v>1</v>
      </c>
      <c r="J90" t="s">
        <v>22</v>
      </c>
      <c r="K90" t="s">
        <v>17</v>
      </c>
      <c r="L90">
        <v>29</v>
      </c>
      <c r="M90" t="str">
        <f t="shared" si="1"/>
        <v>Adolescent</v>
      </c>
      <c r="N90" t="s">
        <v>18</v>
      </c>
    </row>
    <row r="91" spans="1:14" x14ac:dyDescent="0.35">
      <c r="A91">
        <v>25458</v>
      </c>
      <c r="B91" t="s">
        <v>38</v>
      </c>
      <c r="C91" t="s">
        <v>36</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36</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38</v>
      </c>
      <c r="C98" t="s">
        <v>36</v>
      </c>
      <c r="D98" s="3">
        <v>30000</v>
      </c>
      <c r="E98">
        <v>1</v>
      </c>
      <c r="F98" t="s">
        <v>19</v>
      </c>
      <c r="G98" t="s">
        <v>20</v>
      </c>
      <c r="H98" t="s">
        <v>15</v>
      </c>
      <c r="I98">
        <v>1</v>
      </c>
      <c r="J98" t="s">
        <v>16</v>
      </c>
      <c r="K98" t="s">
        <v>17</v>
      </c>
      <c r="L98">
        <v>43</v>
      </c>
      <c r="M98" t="str">
        <f t="shared" si="1"/>
        <v>Middle Age</v>
      </c>
      <c r="N98" t="s">
        <v>18</v>
      </c>
    </row>
    <row r="99" spans="1:14" x14ac:dyDescent="0.35">
      <c r="A99">
        <v>23940</v>
      </c>
      <c r="B99" t="s">
        <v>38</v>
      </c>
      <c r="C99" t="s">
        <v>36</v>
      </c>
      <c r="D99" s="3">
        <v>40000</v>
      </c>
      <c r="E99">
        <v>1</v>
      </c>
      <c r="F99" t="s">
        <v>13</v>
      </c>
      <c r="G99" t="s">
        <v>14</v>
      </c>
      <c r="H99" t="s">
        <v>15</v>
      </c>
      <c r="I99">
        <v>1</v>
      </c>
      <c r="J99" t="s">
        <v>16</v>
      </c>
      <c r="K99" t="s">
        <v>17</v>
      </c>
      <c r="L99">
        <v>44</v>
      </c>
      <c r="M99" t="str">
        <f t="shared" si="1"/>
        <v>Middle Age</v>
      </c>
      <c r="N99" t="s">
        <v>15</v>
      </c>
    </row>
    <row r="100" spans="1:14" x14ac:dyDescent="0.35">
      <c r="A100">
        <v>19441</v>
      </c>
      <c r="B100" t="s">
        <v>38</v>
      </c>
      <c r="C100" t="s">
        <v>36</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38</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38</v>
      </c>
      <c r="C104" t="s">
        <v>36</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38</v>
      </c>
      <c r="C108" t="s">
        <v>36</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38</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38</v>
      </c>
      <c r="C116" t="s">
        <v>36</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36</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38</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38</v>
      </c>
      <c r="C120" t="s">
        <v>36</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38</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38</v>
      </c>
      <c r="C123" t="s">
        <v>36</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38</v>
      </c>
      <c r="C127" t="s">
        <v>36</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38</v>
      </c>
      <c r="C129" t="s">
        <v>36</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36</v>
      </c>
      <c r="D131" s="3">
        <v>10000</v>
      </c>
      <c r="E131">
        <v>3</v>
      </c>
      <c r="F131" t="s">
        <v>27</v>
      </c>
      <c r="G131" t="s">
        <v>25</v>
      </c>
      <c r="H131" t="s">
        <v>15</v>
      </c>
      <c r="I131">
        <v>1</v>
      </c>
      <c r="J131" t="s">
        <v>16</v>
      </c>
      <c r="K131" t="s">
        <v>17</v>
      </c>
      <c r="L131">
        <v>39</v>
      </c>
      <c r="M131" t="str">
        <f t="shared" ref="M131:M194" si="2">IF(L131&gt;54, "Old",IF(L131&gt;=31, "Middle Age",IF(L131&lt;31, "Adolescent", "Invalid")))</f>
        <v>Middle Age</v>
      </c>
      <c r="N131" t="s">
        <v>15</v>
      </c>
    </row>
    <row r="132" spans="1:14" x14ac:dyDescent="0.35">
      <c r="A132">
        <v>12993</v>
      </c>
      <c r="B132" t="s">
        <v>38</v>
      </c>
      <c r="C132" t="s">
        <v>36</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38</v>
      </c>
      <c r="C133" t="s">
        <v>36</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38</v>
      </c>
      <c r="C134" t="s">
        <v>36</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38</v>
      </c>
      <c r="C137" t="s">
        <v>36</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38</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38</v>
      </c>
      <c r="C144" t="s">
        <v>36</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38</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38</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38</v>
      </c>
      <c r="C148" t="s">
        <v>36</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38</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38</v>
      </c>
      <c r="C150" t="s">
        <v>36</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36</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38</v>
      </c>
      <c r="C152" t="s">
        <v>36</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38</v>
      </c>
      <c r="C155" t="s">
        <v>36</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38</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38</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38</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38</v>
      </c>
      <c r="C166" t="s">
        <v>36</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38</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36</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38</v>
      </c>
      <c r="C171" t="s">
        <v>36</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38</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38</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38</v>
      </c>
      <c r="C174" t="s">
        <v>36</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38</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38</v>
      </c>
      <c r="C180" t="s">
        <v>36</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38</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38</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38</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38</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38</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38</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36</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38</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38</v>
      </c>
      <c r="C191" t="s">
        <v>36</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38</v>
      </c>
      <c r="C192" t="s">
        <v>36</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38</v>
      </c>
      <c r="C195" t="s">
        <v>39</v>
      </c>
      <c r="D195" s="3">
        <v>70000</v>
      </c>
      <c r="E195">
        <v>5</v>
      </c>
      <c r="F195" t="s">
        <v>13</v>
      </c>
      <c r="G195" t="s">
        <v>21</v>
      </c>
      <c r="H195" t="s">
        <v>15</v>
      </c>
      <c r="I195">
        <v>4</v>
      </c>
      <c r="J195" t="s">
        <v>46</v>
      </c>
      <c r="K195" t="s">
        <v>24</v>
      </c>
      <c r="L195">
        <v>41</v>
      </c>
      <c r="M195" t="str">
        <f t="shared" ref="M195:M258" si="3">IF(L195&gt;54, "Old",IF(L195&gt;=31, "Middle Age",IF(L195&lt;31, "Adolescent", "Invalid")))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36</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38</v>
      </c>
      <c r="C199" t="s">
        <v>36</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36</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38</v>
      </c>
      <c r="C203" t="s">
        <v>36</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38</v>
      </c>
      <c r="C207" t="s">
        <v>36</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36</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38</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38</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36</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38</v>
      </c>
      <c r="C216" t="s">
        <v>36</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38</v>
      </c>
      <c r="C218" t="s">
        <v>36</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36</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38</v>
      </c>
      <c r="C222" t="s">
        <v>36</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38</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38</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38</v>
      </c>
      <c r="C227" t="s">
        <v>36</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38</v>
      </c>
      <c r="C229" t="s">
        <v>36</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38</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36</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38</v>
      </c>
      <c r="C232" t="s">
        <v>36</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38</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38</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38</v>
      </c>
      <c r="C235" t="s">
        <v>36</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36</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38</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38</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38</v>
      </c>
      <c r="C240" t="s">
        <v>36</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38</v>
      </c>
      <c r="C242" t="s">
        <v>36</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38</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38</v>
      </c>
      <c r="C247" t="s">
        <v>36</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38</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38</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38</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38</v>
      </c>
      <c r="C252" t="s">
        <v>36</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38</v>
      </c>
      <c r="C253" t="s">
        <v>36</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38</v>
      </c>
      <c r="C255" t="s">
        <v>36</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38</v>
      </c>
      <c r="C258" t="s">
        <v>36</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 "Adolescent", "Invalid")))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38</v>
      </c>
      <c r="C261" t="s">
        <v>36</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38</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38</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38</v>
      </c>
      <c r="C266" t="s">
        <v>36</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38</v>
      </c>
      <c r="C270" t="s">
        <v>36</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38</v>
      </c>
      <c r="C274" t="s">
        <v>36</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38</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38</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38</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38</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38</v>
      </c>
      <c r="C280" t="s">
        <v>36</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38</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38</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38</v>
      </c>
      <c r="C290" t="s">
        <v>36</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38</v>
      </c>
      <c r="C291" t="s">
        <v>36</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38</v>
      </c>
      <c r="C293" t="s">
        <v>36</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38</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38</v>
      </c>
      <c r="C299" t="s">
        <v>36</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38</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38</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38</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38</v>
      </c>
      <c r="C306" t="s">
        <v>36</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38</v>
      </c>
      <c r="C308" t="s">
        <v>36</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38</v>
      </c>
      <c r="C309" t="s">
        <v>36</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38</v>
      </c>
      <c r="C310" t="s">
        <v>36</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38</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38</v>
      </c>
      <c r="C312" t="s">
        <v>36</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38</v>
      </c>
      <c r="C313" t="s">
        <v>36</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38</v>
      </c>
      <c r="C314" t="s">
        <v>36</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38</v>
      </c>
      <c r="C316" t="s">
        <v>36</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38</v>
      </c>
      <c r="C318" t="s">
        <v>36</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38</v>
      </c>
      <c r="C319" t="s">
        <v>36</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38</v>
      </c>
      <c r="C320" t="s">
        <v>36</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38</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38</v>
      </c>
      <c r="C322" t="s">
        <v>36</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 "Adolescent", "Invalid")))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38</v>
      </c>
      <c r="C326" t="s">
        <v>36</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38</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38</v>
      </c>
      <c r="C329" t="s">
        <v>36</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38</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38</v>
      </c>
      <c r="C333" t="s">
        <v>36</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38</v>
      </c>
      <c r="C335" t="s">
        <v>36</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38</v>
      </c>
      <c r="C336" t="s">
        <v>36</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38</v>
      </c>
      <c r="C337" t="s">
        <v>36</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38</v>
      </c>
      <c r="C339" t="s">
        <v>36</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38</v>
      </c>
      <c r="C341" t="s">
        <v>36</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36</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38</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38</v>
      </c>
      <c r="C348" t="s">
        <v>36</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38</v>
      </c>
      <c r="C350" t="s">
        <v>36</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36</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38</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36</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38</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38</v>
      </c>
      <c r="C360" t="s">
        <v>36</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38</v>
      </c>
      <c r="C361" t="s">
        <v>36</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38</v>
      </c>
      <c r="C364" t="s">
        <v>36</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38</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38</v>
      </c>
      <c r="C368" t="s">
        <v>36</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38</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38</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38</v>
      </c>
      <c r="C374" t="s">
        <v>36</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36</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38</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38</v>
      </c>
      <c r="C378" t="s">
        <v>36</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38</v>
      </c>
      <c r="C379" t="s">
        <v>36</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38</v>
      </c>
      <c r="C380" t="s">
        <v>36</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38</v>
      </c>
      <c r="C381" t="s">
        <v>36</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36</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38</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38</v>
      </c>
      <c r="C384" t="s">
        <v>36</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38</v>
      </c>
      <c r="C385" t="s">
        <v>36</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36</v>
      </c>
      <c r="D387" s="3">
        <v>30000</v>
      </c>
      <c r="E387">
        <v>3</v>
      </c>
      <c r="F387" t="s">
        <v>19</v>
      </c>
      <c r="G387" t="s">
        <v>20</v>
      </c>
      <c r="H387" t="s">
        <v>15</v>
      </c>
      <c r="I387">
        <v>0</v>
      </c>
      <c r="J387" t="s">
        <v>16</v>
      </c>
      <c r="K387" t="s">
        <v>17</v>
      </c>
      <c r="L387">
        <v>43</v>
      </c>
      <c r="M387" t="str">
        <f t="shared" ref="M387:M450" si="6">IF(L387&gt;54, "Old",IF(L387&gt;=31, "Middle Age",IF(L387&lt;31, "Adolescent", "Invalid")))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38</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38</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38</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38</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38</v>
      </c>
      <c r="C397" t="s">
        <v>36</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38</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38</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38</v>
      </c>
      <c r="C404" t="s">
        <v>36</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38</v>
      </c>
      <c r="C405" t="s">
        <v>36</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38</v>
      </c>
      <c r="C406" t="s">
        <v>36</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38</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38</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38</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38</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38</v>
      </c>
      <c r="C413" t="s">
        <v>36</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38</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38</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38</v>
      </c>
      <c r="C420" t="s">
        <v>36</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38</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38</v>
      </c>
      <c r="C423" t="s">
        <v>36</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36</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38</v>
      </c>
      <c r="C427" t="s">
        <v>36</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36</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38</v>
      </c>
      <c r="C430" t="s">
        <v>36</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36</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38</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38</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38</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38</v>
      </c>
      <c r="C441" t="s">
        <v>36</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36</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38</v>
      </c>
      <c r="C443" t="s">
        <v>36</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38</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38</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38</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38</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38</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38</v>
      </c>
      <c r="C451" t="s">
        <v>39</v>
      </c>
      <c r="D451" s="3">
        <v>40000</v>
      </c>
      <c r="E451">
        <v>1</v>
      </c>
      <c r="F451" t="s">
        <v>13</v>
      </c>
      <c r="G451" t="s">
        <v>14</v>
      </c>
      <c r="H451" t="s">
        <v>15</v>
      </c>
      <c r="I451">
        <v>0</v>
      </c>
      <c r="J451" t="s">
        <v>16</v>
      </c>
      <c r="K451" t="s">
        <v>17</v>
      </c>
      <c r="L451">
        <v>42</v>
      </c>
      <c r="M451" t="str">
        <f t="shared" ref="M451:M514" si="7">IF(L451&gt;54, "Old",IF(L451&gt;=31, "Middle Age",IF(L451&lt;31, "Adolescent", "Invalid")))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38</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38</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38</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38</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38</v>
      </c>
      <c r="C460" t="s">
        <v>36</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38</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38</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38</v>
      </c>
      <c r="C467" t="s">
        <v>36</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38</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38</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36</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38</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38</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38</v>
      </c>
      <c r="C477" t="s">
        <v>36</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38</v>
      </c>
      <c r="C479" t="s">
        <v>36</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38</v>
      </c>
      <c r="C480" t="s">
        <v>36</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38</v>
      </c>
      <c r="C481" t="s">
        <v>36</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38</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38</v>
      </c>
      <c r="C485" t="s">
        <v>36</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38</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38</v>
      </c>
      <c r="C489" t="s">
        <v>36</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38</v>
      </c>
      <c r="C491" t="s">
        <v>36</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38</v>
      </c>
      <c r="C492" t="s">
        <v>36</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38</v>
      </c>
      <c r="C493" t="s">
        <v>36</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36</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38</v>
      </c>
      <c r="C496" t="s">
        <v>36</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38</v>
      </c>
      <c r="C497" t="s">
        <v>36</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38</v>
      </c>
      <c r="C500" t="s">
        <v>36</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38</v>
      </c>
      <c r="C502" t="s">
        <v>36</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38</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38</v>
      </c>
      <c r="C504" t="s">
        <v>36</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38</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38</v>
      </c>
      <c r="C506" t="s">
        <v>36</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38</v>
      </c>
      <c r="C507" t="s">
        <v>36</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38</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38</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38</v>
      </c>
      <c r="C510" t="s">
        <v>36</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38</v>
      </c>
      <c r="C511" t="s">
        <v>36</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38</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Age",IF(L515&lt;31, "Adolescent", "Invalid")))</f>
        <v>Old</v>
      </c>
      <c r="N515" t="s">
        <v>15</v>
      </c>
    </row>
    <row r="516" spans="1:14" x14ac:dyDescent="0.35">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38</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38</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38</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38</v>
      </c>
      <c r="C521" t="s">
        <v>36</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36</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38</v>
      </c>
      <c r="C525" t="s">
        <v>36</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36</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38</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38</v>
      </c>
      <c r="C529" t="s">
        <v>36</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38</v>
      </c>
      <c r="C531" t="s">
        <v>36</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38</v>
      </c>
      <c r="C532" t="s">
        <v>36</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36</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38</v>
      </c>
      <c r="C535" t="s">
        <v>36</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38</v>
      </c>
      <c r="C536" t="s">
        <v>36</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38</v>
      </c>
      <c r="C537" t="s">
        <v>36</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38</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38</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38</v>
      </c>
      <c r="C543" t="s">
        <v>36</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38</v>
      </c>
      <c r="C544" t="s">
        <v>36</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38</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36</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38</v>
      </c>
      <c r="C548" t="s">
        <v>36</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38</v>
      </c>
      <c r="C549" t="s">
        <v>36</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38</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38</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36</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38</v>
      </c>
      <c r="C555" t="s">
        <v>36</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38</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38</v>
      </c>
      <c r="C558" t="s">
        <v>36</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38</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38</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38</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38</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38</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36</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38</v>
      </c>
      <c r="C567" t="s">
        <v>36</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38</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38</v>
      </c>
      <c r="C569" t="s">
        <v>36</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38</v>
      </c>
      <c r="C570" t="s">
        <v>36</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36</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38</v>
      </c>
      <c r="C572" t="s">
        <v>36</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38</v>
      </c>
      <c r="C573" t="s">
        <v>36</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36</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38</v>
      </c>
      <c r="C575" t="s">
        <v>36</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36</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38</v>
      </c>
      <c r="C579" t="s">
        <v>36</v>
      </c>
      <c r="D579" s="3">
        <v>120000</v>
      </c>
      <c r="E579">
        <v>1</v>
      </c>
      <c r="F579" t="s">
        <v>13</v>
      </c>
      <c r="G579" t="s">
        <v>28</v>
      </c>
      <c r="H579" t="s">
        <v>15</v>
      </c>
      <c r="I579">
        <v>4</v>
      </c>
      <c r="J579" t="s">
        <v>16</v>
      </c>
      <c r="K579" t="s">
        <v>32</v>
      </c>
      <c r="L579">
        <v>38</v>
      </c>
      <c r="M579" t="str">
        <f t="shared" ref="M579:M642" si="9">IF(L579&gt;54, "Old",IF(L579&gt;=31, "Middle Age",IF(L579&lt;31, "Adolescent", "Invalid")))</f>
        <v>Middle Age</v>
      </c>
      <c r="N579" t="s">
        <v>18</v>
      </c>
    </row>
    <row r="580" spans="1:14" x14ac:dyDescent="0.35">
      <c r="A580">
        <v>15313</v>
      </c>
      <c r="B580" t="s">
        <v>38</v>
      </c>
      <c r="C580" t="s">
        <v>36</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38</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38</v>
      </c>
      <c r="C583" t="s">
        <v>36</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38</v>
      </c>
      <c r="C584" t="s">
        <v>36</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38</v>
      </c>
      <c r="C585" t="s">
        <v>36</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38</v>
      </c>
      <c r="C588" t="s">
        <v>36</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38</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38</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36</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38</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38</v>
      </c>
      <c r="C593" t="s">
        <v>36</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38</v>
      </c>
      <c r="C596" t="s">
        <v>36</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38</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38</v>
      </c>
      <c r="C600" t="s">
        <v>36</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38</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38</v>
      </c>
      <c r="C602" t="s">
        <v>36</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38</v>
      </c>
      <c r="C605" t="s">
        <v>36</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38</v>
      </c>
      <c r="C606" t="s">
        <v>36</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38</v>
      </c>
      <c r="C610" t="s">
        <v>36</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38</v>
      </c>
      <c r="C611" t="s">
        <v>36</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38</v>
      </c>
      <c r="C612" t="s">
        <v>36</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38</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38</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38</v>
      </c>
      <c r="C619" t="s">
        <v>36</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38</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38</v>
      </c>
      <c r="C623" t="s">
        <v>36</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38</v>
      </c>
      <c r="C624" t="s">
        <v>36</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38</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38</v>
      </c>
      <c r="C627" t="s">
        <v>36</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38</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38</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38</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38</v>
      </c>
      <c r="C632" t="s">
        <v>36</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38</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38</v>
      </c>
      <c r="C636" t="s">
        <v>36</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36</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38</v>
      </c>
      <c r="C641" t="s">
        <v>36</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38</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38</v>
      </c>
      <c r="C643" t="s">
        <v>36</v>
      </c>
      <c r="D643" s="3">
        <v>50000</v>
      </c>
      <c r="E643">
        <v>4</v>
      </c>
      <c r="F643" t="s">
        <v>13</v>
      </c>
      <c r="G643" t="s">
        <v>28</v>
      </c>
      <c r="H643" t="s">
        <v>15</v>
      </c>
      <c r="I643">
        <v>2</v>
      </c>
      <c r="J643" t="s">
        <v>46</v>
      </c>
      <c r="K643" t="s">
        <v>32</v>
      </c>
      <c r="L643">
        <v>64</v>
      </c>
      <c r="M643" t="str">
        <f t="shared" ref="M643:M706" si="10">IF(L643&gt;54, "Old",IF(L643&gt;=31, "Middle Age",IF(L643&lt;31, "Adolescent", "Invalid")))</f>
        <v>Old</v>
      </c>
      <c r="N643" t="s">
        <v>18</v>
      </c>
    </row>
    <row r="644" spans="1:14" x14ac:dyDescent="0.35">
      <c r="A644">
        <v>21741</v>
      </c>
      <c r="B644" t="s">
        <v>38</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38</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38</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38</v>
      </c>
      <c r="C654" t="s">
        <v>36</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38</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38</v>
      </c>
      <c r="C658" t="s">
        <v>36</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38</v>
      </c>
      <c r="C659" t="s">
        <v>36</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38</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36</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38</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38</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38</v>
      </c>
      <c r="C667" t="s">
        <v>36</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38</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38</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38</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38</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38</v>
      </c>
      <c r="C672" t="s">
        <v>36</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38</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38</v>
      </c>
      <c r="C677" t="s">
        <v>36</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38</v>
      </c>
      <c r="C678" t="s">
        <v>36</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38</v>
      </c>
      <c r="C679" t="s">
        <v>36</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38</v>
      </c>
      <c r="C680" t="s">
        <v>36</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38</v>
      </c>
      <c r="C681" t="s">
        <v>36</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38</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38</v>
      </c>
      <c r="C684" t="s">
        <v>36</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38</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38</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36</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36</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38</v>
      </c>
      <c r="C691" t="s">
        <v>36</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38</v>
      </c>
      <c r="C693" t="s">
        <v>36</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38</v>
      </c>
      <c r="C694" t="s">
        <v>36</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38</v>
      </c>
      <c r="C697" t="s">
        <v>36</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36</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38</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38</v>
      </c>
      <c r="C700" t="s">
        <v>36</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38</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36</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38</v>
      </c>
      <c r="C704" t="s">
        <v>36</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38</v>
      </c>
      <c r="C707" t="s">
        <v>39</v>
      </c>
      <c r="D707" s="3">
        <v>70000</v>
      </c>
      <c r="E707">
        <v>4</v>
      </c>
      <c r="F707" t="s">
        <v>13</v>
      </c>
      <c r="G707" t="s">
        <v>28</v>
      </c>
      <c r="H707" t="s">
        <v>15</v>
      </c>
      <c r="I707">
        <v>1</v>
      </c>
      <c r="J707" t="s">
        <v>46</v>
      </c>
      <c r="K707" t="s">
        <v>32</v>
      </c>
      <c r="L707">
        <v>59</v>
      </c>
      <c r="M707" t="str">
        <f t="shared" ref="M707:M770" si="11">IF(L707&gt;54, "Old",IF(L707&gt;=31, "Middle Age",IF(L707&lt;31, "Adolescent",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38</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38</v>
      </c>
      <c r="C710" t="s">
        <v>36</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38</v>
      </c>
      <c r="C712" t="s">
        <v>36</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38</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38</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38</v>
      </c>
      <c r="C716" t="s">
        <v>36</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38</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38</v>
      </c>
      <c r="C720" t="s">
        <v>36</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38</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38</v>
      </c>
      <c r="C726" t="s">
        <v>36</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38</v>
      </c>
      <c r="C727" t="s">
        <v>36</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38</v>
      </c>
      <c r="C728" t="s">
        <v>36</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38</v>
      </c>
      <c r="C729" t="s">
        <v>36</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38</v>
      </c>
      <c r="C730" t="s">
        <v>36</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38</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38</v>
      </c>
      <c r="C733" t="s">
        <v>36</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38</v>
      </c>
      <c r="C738" t="s">
        <v>36</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38</v>
      </c>
      <c r="C739" t="s">
        <v>36</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38</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38</v>
      </c>
      <c r="C742" t="s">
        <v>36</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38</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36</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38</v>
      </c>
      <c r="C745" t="s">
        <v>36</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38</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38</v>
      </c>
      <c r="C747" t="s">
        <v>36</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38</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38</v>
      </c>
      <c r="C750" t="s">
        <v>36</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38</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38</v>
      </c>
      <c r="C752" t="s">
        <v>36</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38</v>
      </c>
      <c r="C753" t="s">
        <v>36</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38</v>
      </c>
      <c r="C754" t="s">
        <v>36</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38</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38</v>
      </c>
      <c r="C757" t="s">
        <v>36</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38</v>
      </c>
      <c r="C758" t="s">
        <v>36</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38</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38</v>
      </c>
      <c r="C765" t="s">
        <v>36</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38</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38</v>
      </c>
      <c r="C768" t="s">
        <v>36</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38</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38</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38</v>
      </c>
      <c r="C771" t="s">
        <v>39</v>
      </c>
      <c r="D771" s="3">
        <v>100000</v>
      </c>
      <c r="E771">
        <v>4</v>
      </c>
      <c r="F771" t="s">
        <v>13</v>
      </c>
      <c r="G771" t="s">
        <v>28</v>
      </c>
      <c r="H771" t="s">
        <v>15</v>
      </c>
      <c r="I771">
        <v>4</v>
      </c>
      <c r="J771" t="s">
        <v>16</v>
      </c>
      <c r="K771" t="s">
        <v>32</v>
      </c>
      <c r="L771">
        <v>40</v>
      </c>
      <c r="M771" t="str">
        <f t="shared" ref="M771:M834" si="12">IF(L771&gt;54, "Old",IF(L771&gt;=31, "Middle Age",IF(L771&lt;31, "Adolescent", "Invalid")))</f>
        <v>Middle Age</v>
      </c>
      <c r="N771" t="s">
        <v>18</v>
      </c>
    </row>
    <row r="772" spans="1:14" x14ac:dyDescent="0.35">
      <c r="A772">
        <v>17699</v>
      </c>
      <c r="B772" t="s">
        <v>38</v>
      </c>
      <c r="C772" t="s">
        <v>36</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38</v>
      </c>
      <c r="C773" t="s">
        <v>36</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38</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38</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38</v>
      </c>
      <c r="C777" t="s">
        <v>36</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36</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38</v>
      </c>
      <c r="C780" t="s">
        <v>36</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38</v>
      </c>
      <c r="C781" t="s">
        <v>36</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38</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38</v>
      </c>
      <c r="C783" t="s">
        <v>36</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38</v>
      </c>
      <c r="C785" t="s">
        <v>36</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38</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38</v>
      </c>
      <c r="C791" t="s">
        <v>36</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38</v>
      </c>
      <c r="C793" t="s">
        <v>36</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38</v>
      </c>
      <c r="C795" t="s">
        <v>36</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38</v>
      </c>
      <c r="C796" t="s">
        <v>36</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38</v>
      </c>
      <c r="C798" t="s">
        <v>36</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36</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38</v>
      </c>
      <c r="C803" t="s">
        <v>36</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38</v>
      </c>
      <c r="C804" t="s">
        <v>36</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38</v>
      </c>
      <c r="C805" t="s">
        <v>36</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38</v>
      </c>
      <c r="C806" t="s">
        <v>36</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38</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38</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38</v>
      </c>
      <c r="C813" t="s">
        <v>36</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38</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38</v>
      </c>
      <c r="C817" t="s">
        <v>36</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38</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38</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38</v>
      </c>
      <c r="C820" t="s">
        <v>36</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38</v>
      </c>
      <c r="C823" t="s">
        <v>36</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38</v>
      </c>
      <c r="C824" t="s">
        <v>36</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38</v>
      </c>
      <c r="C827" t="s">
        <v>36</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38</v>
      </c>
      <c r="C828" t="s">
        <v>36</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38</v>
      </c>
      <c r="C832" t="s">
        <v>36</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38</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38</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 "Adolescent", "Invalid")))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38</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38</v>
      </c>
      <c r="C839" t="s">
        <v>36</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38</v>
      </c>
      <c r="C842" t="s">
        <v>36</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38</v>
      </c>
      <c r="C843" t="s">
        <v>36</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38</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38</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38</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38</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38</v>
      </c>
      <c r="C853" t="s">
        <v>36</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38</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36</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38</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38</v>
      </c>
      <c r="C860" t="s">
        <v>36</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38</v>
      </c>
      <c r="C861" t="s">
        <v>36</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38</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38</v>
      </c>
      <c r="C864" t="s">
        <v>36</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38</v>
      </c>
      <c r="C868" t="s">
        <v>36</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38</v>
      </c>
      <c r="C869" t="s">
        <v>36</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36</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38</v>
      </c>
      <c r="C872" t="s">
        <v>36</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38</v>
      </c>
      <c r="C873" t="s">
        <v>36</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38</v>
      </c>
      <c r="C875" t="s">
        <v>36</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38</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36</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38</v>
      </c>
      <c r="C879" t="s">
        <v>36</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38</v>
      </c>
      <c r="C880" t="s">
        <v>36</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38</v>
      </c>
      <c r="C881" t="s">
        <v>36</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38</v>
      </c>
      <c r="C882" t="s">
        <v>36</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38</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38</v>
      </c>
      <c r="C884" t="s">
        <v>36</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38</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38</v>
      </c>
      <c r="C886" t="s">
        <v>36</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38</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38</v>
      </c>
      <c r="C888" t="s">
        <v>36</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38</v>
      </c>
      <c r="C889" t="s">
        <v>36</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38</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38</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38</v>
      </c>
      <c r="C895" t="s">
        <v>36</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38</v>
      </c>
      <c r="C896" t="s">
        <v>36</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38</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38</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38</v>
      </c>
      <c r="C899" t="s">
        <v>36</v>
      </c>
      <c r="D899" s="3">
        <v>30000</v>
      </c>
      <c r="E899">
        <v>0</v>
      </c>
      <c r="F899" t="s">
        <v>29</v>
      </c>
      <c r="G899" t="s">
        <v>20</v>
      </c>
      <c r="H899" t="s">
        <v>18</v>
      </c>
      <c r="I899">
        <v>2</v>
      </c>
      <c r="J899" t="s">
        <v>16</v>
      </c>
      <c r="K899" t="s">
        <v>32</v>
      </c>
      <c r="L899">
        <v>28</v>
      </c>
      <c r="M899" t="str">
        <f t="shared" ref="M899:M962" si="14">IF(L899&gt;54, "Old",IF(L899&gt;=31, "Middle Age",IF(L899&lt;31, "Adolescent", "Invalid")))</f>
        <v>Adolescent</v>
      </c>
      <c r="N899" t="s">
        <v>18</v>
      </c>
    </row>
    <row r="900" spans="1:14" x14ac:dyDescent="0.35">
      <c r="A900">
        <v>18066</v>
      </c>
      <c r="B900" t="s">
        <v>37</v>
      </c>
      <c r="C900" t="s">
        <v>36</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38</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38</v>
      </c>
      <c r="C902" t="s">
        <v>36</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38</v>
      </c>
      <c r="C908" t="s">
        <v>36</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38</v>
      </c>
      <c r="C909" t="s">
        <v>36</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38</v>
      </c>
      <c r="C911" t="s">
        <v>36</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38</v>
      </c>
      <c r="C912" t="s">
        <v>36</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38</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38</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38</v>
      </c>
      <c r="C917" t="s">
        <v>36</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38</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38</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38</v>
      </c>
      <c r="C922" t="s">
        <v>36</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38</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38</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38</v>
      </c>
      <c r="C930" t="s">
        <v>36</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38</v>
      </c>
      <c r="C931" t="s">
        <v>36</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38</v>
      </c>
      <c r="C932" t="s">
        <v>36</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38</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36</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38</v>
      </c>
      <c r="C936" t="s">
        <v>36</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38</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38</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38</v>
      </c>
      <c r="C939" t="s">
        <v>36</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38</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38</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38</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38</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38</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38</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38</v>
      </c>
      <c r="C951" t="s">
        <v>36</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38</v>
      </c>
      <c r="C953" t="s">
        <v>36</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38</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38</v>
      </c>
      <c r="C956" t="s">
        <v>36</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38</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38</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38</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38</v>
      </c>
      <c r="C960" t="s">
        <v>36</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38</v>
      </c>
      <c r="C961" t="s">
        <v>36</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38</v>
      </c>
      <c r="C963" t="s">
        <v>39</v>
      </c>
      <c r="D963" s="3">
        <v>120000</v>
      </c>
      <c r="E963">
        <v>2</v>
      </c>
      <c r="F963" t="s">
        <v>13</v>
      </c>
      <c r="G963" t="s">
        <v>28</v>
      </c>
      <c r="H963" t="s">
        <v>15</v>
      </c>
      <c r="I963">
        <v>3</v>
      </c>
      <c r="J963" t="s">
        <v>23</v>
      </c>
      <c r="K963" t="s">
        <v>32</v>
      </c>
      <c r="L963">
        <v>62</v>
      </c>
      <c r="M963" t="str">
        <f t="shared" ref="M963:M1001" si="15">IF(L963&gt;54, "Old",IF(L963&gt;=31, "Middle Age",IF(L963&lt;31, "Adolescent", "Invalid")))</f>
        <v>Old</v>
      </c>
      <c r="N963" t="s">
        <v>18</v>
      </c>
    </row>
    <row r="964" spans="1:14" x14ac:dyDescent="0.35">
      <c r="A964">
        <v>16813</v>
      </c>
      <c r="B964" t="s">
        <v>38</v>
      </c>
      <c r="C964" t="s">
        <v>36</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38</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36</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38</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38</v>
      </c>
      <c r="C969" t="s">
        <v>36</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36</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38</v>
      </c>
      <c r="C971" t="s">
        <v>36</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38</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38</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38</v>
      </c>
      <c r="C975" t="s">
        <v>36</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38</v>
      </c>
      <c r="C976" t="s">
        <v>36</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38</v>
      </c>
      <c r="C977" t="s">
        <v>36</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38</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38</v>
      </c>
      <c r="C980" t="s">
        <v>36</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38</v>
      </c>
      <c r="C983" t="s">
        <v>36</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38</v>
      </c>
      <c r="C985" t="s">
        <v>36</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38</v>
      </c>
      <c r="C986" t="s">
        <v>36</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36</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38</v>
      </c>
      <c r="C990" t="s">
        <v>36</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38</v>
      </c>
      <c r="C991" t="s">
        <v>36</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38</v>
      </c>
      <c r="C994" t="s">
        <v>36</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38</v>
      </c>
      <c r="C996" t="s">
        <v>36</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38</v>
      </c>
      <c r="C997" t="s">
        <v>36</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38</v>
      </c>
      <c r="C999" t="s">
        <v>36</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36</v>
      </c>
      <c r="D1001" s="3">
        <v>60000</v>
      </c>
      <c r="E1001">
        <v>3</v>
      </c>
      <c r="F1001" t="s">
        <v>27</v>
      </c>
      <c r="G1001" t="s">
        <v>21</v>
      </c>
      <c r="H1001" t="s">
        <v>15</v>
      </c>
      <c r="I1001">
        <v>2</v>
      </c>
      <c r="J1001" t="s">
        <v>46</v>
      </c>
      <c r="K1001" t="s">
        <v>32</v>
      </c>
      <c r="L1001">
        <v>53</v>
      </c>
      <c r="M1001" t="str">
        <f t="shared" si="15"/>
        <v>Middle Age</v>
      </c>
      <c r="N1001" t="s">
        <v>15</v>
      </c>
    </row>
  </sheetData>
  <autoFilter ref="A1:N1001" xr:uid="{466EF6C8-FBA0-4568-8335-9B49303B19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DC7F-5E87-4E99-A92C-8DB623D64293}">
  <dimension ref="A1:D39"/>
  <sheetViews>
    <sheetView topLeftCell="A18" zoomScale="77" workbookViewId="0">
      <selection activeCell="N29" sqref="N29"/>
    </sheetView>
  </sheetViews>
  <sheetFormatPr defaultRowHeight="14.5" x14ac:dyDescent="0.35"/>
  <cols>
    <col min="1" max="1" width="21.54296875" bestFit="1" customWidth="1"/>
    <col min="2" max="2" width="16" bestFit="1" customWidth="1"/>
    <col min="3" max="3" width="4"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3">
        <v>43913.043478260872</v>
      </c>
      <c r="C3" s="3">
        <v>45294.117647058825</v>
      </c>
      <c r="D3" s="3">
        <v>44500</v>
      </c>
    </row>
    <row r="4" spans="1:4" x14ac:dyDescent="0.35">
      <c r="A4" s="5" t="s">
        <v>36</v>
      </c>
      <c r="B4" s="3">
        <v>45925.925925925927</v>
      </c>
      <c r="C4" s="3">
        <v>53777.777777777781</v>
      </c>
      <c r="D4" s="3">
        <v>49494.949494949498</v>
      </c>
    </row>
    <row r="5" spans="1:4" x14ac:dyDescent="0.35">
      <c r="A5" s="5" t="s">
        <v>42</v>
      </c>
      <c r="B5" s="3">
        <v>45000</v>
      </c>
      <c r="C5" s="3">
        <v>50126.582278481015</v>
      </c>
      <c r="D5" s="3">
        <v>47262.569832402238</v>
      </c>
    </row>
    <row r="16" spans="1:4" x14ac:dyDescent="0.35">
      <c r="A16" s="4" t="s">
        <v>45</v>
      </c>
      <c r="B16" s="4" t="s">
        <v>44</v>
      </c>
    </row>
    <row r="17" spans="1:4" x14ac:dyDescent="0.35">
      <c r="A17" s="4" t="s">
        <v>41</v>
      </c>
      <c r="B17" t="s">
        <v>18</v>
      </c>
      <c r="C17" t="s">
        <v>15</v>
      </c>
      <c r="D17" t="s">
        <v>42</v>
      </c>
    </row>
    <row r="18" spans="1:4" x14ac:dyDescent="0.35">
      <c r="A18" s="5" t="s">
        <v>16</v>
      </c>
      <c r="B18" s="6">
        <v>15</v>
      </c>
      <c r="C18" s="6">
        <v>20</v>
      </c>
      <c r="D18" s="6">
        <v>35</v>
      </c>
    </row>
    <row r="19" spans="1:4" x14ac:dyDescent="0.35">
      <c r="A19" s="5" t="s">
        <v>26</v>
      </c>
      <c r="B19" s="6">
        <v>18</v>
      </c>
      <c r="C19" s="6">
        <v>18</v>
      </c>
      <c r="D19" s="6">
        <v>36</v>
      </c>
    </row>
    <row r="20" spans="1:4" x14ac:dyDescent="0.35">
      <c r="A20" s="5" t="s">
        <v>22</v>
      </c>
      <c r="B20" s="6">
        <v>16</v>
      </c>
      <c r="C20" s="6">
        <v>13</v>
      </c>
      <c r="D20" s="6">
        <v>29</v>
      </c>
    </row>
    <row r="21" spans="1:4" x14ac:dyDescent="0.35">
      <c r="A21" s="5" t="s">
        <v>23</v>
      </c>
      <c r="B21" s="6">
        <v>39</v>
      </c>
      <c r="C21" s="6">
        <v>19</v>
      </c>
      <c r="D21" s="6">
        <v>58</v>
      </c>
    </row>
    <row r="22" spans="1:4" x14ac:dyDescent="0.35">
      <c r="A22" s="5" t="s">
        <v>46</v>
      </c>
      <c r="B22" s="6">
        <v>12</v>
      </c>
      <c r="C22" s="6">
        <v>9</v>
      </c>
      <c r="D22" s="6">
        <v>21</v>
      </c>
    </row>
    <row r="23" spans="1:4" x14ac:dyDescent="0.35">
      <c r="A23" s="5" t="s">
        <v>42</v>
      </c>
      <c r="B23" s="6">
        <v>100</v>
      </c>
      <c r="C23" s="6">
        <v>79</v>
      </c>
      <c r="D23" s="6">
        <v>179</v>
      </c>
    </row>
    <row r="34" spans="1:4" x14ac:dyDescent="0.35">
      <c r="A34" s="4" t="s">
        <v>45</v>
      </c>
      <c r="B34" s="4" t="s">
        <v>44</v>
      </c>
    </row>
    <row r="35" spans="1:4" x14ac:dyDescent="0.35">
      <c r="A35" s="4" t="s">
        <v>41</v>
      </c>
      <c r="B35" t="s">
        <v>18</v>
      </c>
      <c r="C35" t="s">
        <v>15</v>
      </c>
      <c r="D35" t="s">
        <v>42</v>
      </c>
    </row>
    <row r="36" spans="1:4" x14ac:dyDescent="0.35">
      <c r="A36" s="5" t="s">
        <v>47</v>
      </c>
      <c r="B36" s="6">
        <v>23</v>
      </c>
      <c r="C36" s="6">
        <v>9</v>
      </c>
      <c r="D36" s="6">
        <v>32</v>
      </c>
    </row>
    <row r="37" spans="1:4" x14ac:dyDescent="0.35">
      <c r="A37" s="5" t="s">
        <v>48</v>
      </c>
      <c r="B37" s="6">
        <v>53</v>
      </c>
      <c r="C37" s="6">
        <v>59</v>
      </c>
      <c r="D37" s="6">
        <v>112</v>
      </c>
    </row>
    <row r="38" spans="1:4" x14ac:dyDescent="0.35">
      <c r="A38" s="5" t="s">
        <v>49</v>
      </c>
      <c r="B38" s="6">
        <v>24</v>
      </c>
      <c r="C38" s="6">
        <v>11</v>
      </c>
      <c r="D38" s="6">
        <v>35</v>
      </c>
    </row>
    <row r="39" spans="1:4" x14ac:dyDescent="0.35">
      <c r="A39" s="5" t="s">
        <v>42</v>
      </c>
      <c r="B39" s="6">
        <v>100</v>
      </c>
      <c r="C39" s="6">
        <v>79</v>
      </c>
      <c r="D39" s="6">
        <v>179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4008-C72F-451F-BED9-7629ABDD0071}">
  <dimension ref="A1:O6"/>
  <sheetViews>
    <sheetView showGridLines="0" tabSelected="1" zoomScale="58" zoomScaleNormal="58" workbookViewId="0">
      <selection activeCell="U14" sqref="U14"/>
    </sheetView>
  </sheetViews>
  <sheetFormatPr defaultRowHeight="14.5" x14ac:dyDescent="0.35"/>
  <sheetData>
    <row r="1" spans="1:15"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 L1400CD</cp:lastModifiedBy>
  <dcterms:created xsi:type="dcterms:W3CDTF">2022-03-18T02:50:57Z</dcterms:created>
  <dcterms:modified xsi:type="dcterms:W3CDTF">2026-09-07T17:13:13Z</dcterms:modified>
</cp:coreProperties>
</file>